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ivergences" sheetId="2" state="visible" r:id="rId4"/>
    <sheet name="Agreements" sheetId="3" state="visible" r:id="rId5"/>
    <sheet name="Take now" sheetId="4" state="visible" r:id="rId6"/>
  </sheets>
  <definedNames>
    <definedName function="false" hidden="true" localSheetId="2" name="_xlnm._FilterDatabase" vbProcedure="false">Agreements!$A$1:$B$13</definedName>
    <definedName function="false" hidden="true" localSheetId="1" name="_xlnm._FilterDatabase" vbProcedure="false">Divergences!$A$1:$F$11</definedName>
    <definedName function="false" hidden="true" localSheetId="3" name="_xlnm._FilterDatabase" vbProcedure="false">'Take now'!$A$1:$D$6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<sst xmlns="http://schemas.openxmlformats.org/spreadsheetml/2006/main" count="128" uniqueCount="102">
  <si>
    <t xml:space="preserve">Ask the Tower — reconciliation of Badhri's pitch v3 (2 Oct) with the current deck and docs (5 Oct)</t>
  </si>
  <si>
    <t xml:space="preserve">Updated 5 Oct 2026: adopted items are applied to the deck (numbers slide, consent slide), docs/architecture (02, 03, 06, 07, e2e-wiring) and prompts (02, 03, 08, 10, 16, 17), and removed from this sheet. What remains needs a decision or belongs to Badhrinath.</t>
  </si>
  <si>
    <t xml:space="preserve">Proposed</t>
  </si>
  <si>
    <t xml:space="preserve">Count</t>
  </si>
  <si>
    <t xml:space="preserve">Adopt</t>
  </si>
  <si>
    <t xml:space="preserve">Discuss</t>
  </si>
  <si>
    <t xml:space="preserve">Decline</t>
  </si>
  <si>
    <t xml:space="preserve">Verify</t>
  </si>
  <si>
    <t xml:space="preserve">Total divergences</t>
  </si>
  <si>
    <t xml:space="preserve">Points in agreement</t>
  </si>
  <si>
    <t xml:space="preserve">Actions pending</t>
  </si>
  <si>
    <t xml:space="preserve">Needs a decision between the two of you: hero framing, SOS, location, Voice Monkey, revoke by voice, naming the carrier platform, AWS footprint. Badhrinath: verify toolkit gating; supply the four research notes.</t>
  </si>
  <si>
    <t xml:space="preserve">Topic</t>
  </si>
  <si>
    <t xml:space="preserve">Badhri's v3</t>
  </si>
  <si>
    <t xml:space="preserve">Our deck / docs (5 Oct)</t>
  </si>
  <si>
    <t xml:space="preserve">Note</t>
  </si>
  <si>
    <t xml:space="preserve">Owner</t>
  </si>
  <si>
    <t xml:space="preserve">Hero / framing</t>
  </si>
  <si>
    <t xml:space="preserve">The family watching Mom's line; "the second person is told"</t>
  </si>
  <si>
    <t xml:space="preserve">Your own line from the Echo; Mom's line is demo moment 3</t>
  </si>
  <si>
    <t xml:space="preserve">Framing choice. His is more emotional; ours is more defensible against Find My / family-app prior art (review-response P2).</t>
  </si>
  <si>
    <t xml:space="preserve">Both</t>
  </si>
  <si>
    <t xml:space="preserve">Silent SOS button</t>
  </si>
  <si>
    <t xml:space="preserve">Big-button page, Morse codes (SOS / W / C), escalation ladder, mock dispatch</t>
  </si>
  <si>
    <t xml:space="preserve">Not in scope</t>
  </si>
  <si>
    <t xml:space="preserve">A whole second product in three weeks. Cheapest compromise: lead item on the roadmap slide, not a demo moment.</t>
  </si>
  <si>
    <t xml:space="preserve">Location Verification</t>
  </si>
  <si>
    <t xml:space="preserve">"Near home" (TRUE only; PARTIAL → "can't confirm") as SOS context</t>
  </si>
  <si>
    <t xml:space="preserve">Deliberately removed; "location of any kind" is on the deck's "not built" list (A8)</t>
  </si>
  <si>
    <t xml:space="preserve">Direct conflict with the privacy posture. His yes/no limitation is defensible but it is still location.</t>
  </si>
  <si>
    <t xml:space="preserve">Echo speaks first</t>
  </si>
  <si>
    <t xml:space="preserve">Voice Monkey triggers a routine: "You have an alert from Tower"; detail only when asked</t>
  </si>
  <si>
    <t xml:space="preserve">Alexa+ never speaks first; alerts are SMS/push from Tower's Alerts service (A4)</t>
  </si>
  <si>
    <t xml:space="preserve">His own risk table says Voice Monkey on Alexa+ is untested. Ours avoids a third-party dependency.</t>
  </si>
  <si>
    <t xml:space="preserve">Badhri (day-1 test)</t>
  </si>
  <si>
    <t xml:space="preserve">Revoke by voice</t>
  </si>
  <si>
    <t xml:space="preserve">Rose can revoke by voice at any time</t>
  </si>
  <si>
    <t xml:space="preserve">Page-only revocation, deliberately ("never a misheard sentence")</t>
  </si>
  <si>
    <t xml:space="preserve">Small point, but argued in docs/architecture/components/04 §3.</t>
  </si>
  <si>
    <t xml:space="preserve">Naming the carrier platform</t>
  </si>
  <si>
    <t xml:space="preserve">Names Nokia NaC throughout (backend, prior art, risks)</t>
  </si>
  <si>
    <t xml:space="preserve">Generic in the deck; full names only in docs/prior-art.md (P3)</t>
  </si>
  <si>
    <t xml:space="preserve">Employer-platform naming is Asish's call, not a pitch-merge item.</t>
  </si>
  <si>
    <t xml:space="preserve">Asish</t>
  </si>
  <si>
    <t xml:space="preserve">AWS footprint</t>
  </si>
  <si>
    <t xml:space="preserve">Lambda-first; DynamoDB, EventBridge Scheduler, Secrets Manager; Bedrock for backup client</t>
  </si>
  <si>
    <t xml:space="preserve">AgentCore Runtime + Gateway + Identity; Lambda/Fargate; EKS as portability proof</t>
  </si>
  <si>
    <t xml:space="preserve">His is lighter to build; ours scores more on the AWS Builder mini. The cut line in prompts/00 already reduces to roughly his shape if AgentCore slips.</t>
  </si>
  <si>
    <t xml:space="preserve">MCP Toolkit access claim</t>
  </si>
  <si>
    <t xml:space="preserve">"Select partners only"; demo on the simulated Alexa+ web app (rules allow)</t>
  </si>
  <si>
    <t xml:space="preserve">"US-only"; demo in the web simulator from Canada</t>
  </si>
  <si>
    <t xml:space="preserve">His claim is stronger and changes the friction log. One of you verifies this week (prompt 02 spike A).</t>
  </si>
  <si>
    <t xml:space="preserve">Badhri</t>
  </si>
  <si>
    <t xml:space="preserve">Demo moment 2</t>
  </si>
  <si>
    <t xml:space="preserve">Daily 8 am check finds call forwarding; Anita asks "what happened this week?"</t>
  </si>
  <si>
    <t xml:space="preserve">"Is anything forwarding my calls?" on the user's own line</t>
  </si>
  <si>
    <t xml:space="preserve">Same API, different narrator. Follows from the hero decision.</t>
  </si>
  <si>
    <t xml:space="preserve">Quiet hours</t>
  </si>
  <si>
    <t xml:space="preserve">10 pm–7 am: Echo silent, SMS still goes; SOS ignores quiet hours</t>
  </si>
  <si>
    <t xml:space="preserve">Fraud alerts: no quiet hours; reachability alerts respect 08:00–22:00</t>
  </si>
  <si>
    <t xml:space="preserve">Only matters if the Echo speaks first. With SMS-only, ours already covers it.</t>
  </si>
  <si>
    <t xml:space="preserve">—</t>
  </si>
  <si>
    <t xml:space="preserve">Point both versions share</t>
  </si>
  <si>
    <t xml:space="preserve">Where</t>
  </si>
  <si>
    <t xml:space="preserve">The Echo still works after a SIM swap (phone dead, Echo on Wi-Fi)</t>
  </si>
  <si>
    <t xml:space="preserve">v3 §4.4; deck shift slide</t>
  </si>
  <si>
    <t xml:space="preserve">CAMARA-conformant mock carrier is the demo default; say "mock" on screen</t>
  </si>
  <si>
    <t xml:space="preserve">v3 §6; docs/architecture/components/08</t>
  </si>
  <si>
    <t xml:space="preserve">Deterministic policy engine, tested as a table; the LLM never decides</t>
  </si>
  <si>
    <t xml:space="preserve">v3 §3.1, §4.2; components/03</t>
  </si>
  <si>
    <t xml:space="preserve">Consent happens on the phone over mobile data via Number Verification; consent is the first screen</t>
  </si>
  <si>
    <t xml:space="preserve">v3 §4.1; deck consent slide; components/04</t>
  </si>
  <si>
    <t xml:space="preserve">Hash-chained audit log; "who checked my line this week?"</t>
  </si>
  <si>
    <t xml:space="preserve">v3 §3.1, §7; components/07</t>
  </si>
  <si>
    <t xml:space="preserve">Strands agent on Bedrock as backup voice client only; no Bedrock in the hot path</t>
  </si>
  <si>
    <t xml:space="preserve">v3 §3.1, §6; review-response A5</t>
  </si>
  <si>
    <t xml:space="preserve">Never auto-dial 911; a person must act</t>
  </si>
  <si>
    <t xml:space="preserve">v3 §4.2; deck care slides</t>
  </si>
  <si>
    <t xml:space="preserve">Demo runs in the Alexa+ web simulator</t>
  </si>
  <si>
    <t xml:space="preserve">v3 §1.6; deck tracks slide</t>
  </si>
  <si>
    <t xml:space="preserve">Drop the Fire TV extension slide</t>
  </si>
  <si>
    <t xml:space="preserve">v3 §8; review-response A9</t>
  </si>
  <si>
    <t xml:space="preserve">Same alert within 6 h is not repeated</t>
  </si>
  <si>
    <t xml:space="preserve">v3 §4.2; components/06 §5</t>
  </si>
  <si>
    <t xml:space="preserve">"Unreachable" is never said as "unwell"</t>
  </si>
  <si>
    <t xml:space="preserve">v3 §4.2; deck care-silence slide</t>
  </si>
  <si>
    <t xml:space="preserve">No Ring hardware</t>
  </si>
  <si>
    <t xml:space="preserve">v3 §1.6; StreetMesh set aside</t>
  </si>
  <si>
    <t xml:space="preserve">Action</t>
  </si>
  <si>
    <t xml:space="preserve">Where it lands</t>
  </si>
  <si>
    <t xml:space="preserve">Status</t>
  </si>
  <si>
    <t xml:space="preserve">Verify "MCP Toolkit is select partners only" vs "US-only"</t>
  </si>
  <si>
    <t xml:space="preserve">Prompt 02 spike A; friction log</t>
  </si>
  <si>
    <t xml:space="preserve">Pending</t>
  </si>
  <si>
    <t xml:space="preserve">Bring the four research/*.md files into docs/research/ and fold stats + prior-art into docs/prior-art.md</t>
  </si>
  <si>
    <t xml:space="preserve">docs/prior-art.md (prompt 17)</t>
  </si>
  <si>
    <t xml:space="preserve">Decide: hero framing (own line vs family watching) — one meeting, before any slide is rewritten</t>
  </si>
  <si>
    <t xml:space="preserve">Deck cover/idea/demo slides</t>
  </si>
  <si>
    <t xml:space="preserve">Decide: SOS as roadmap item vs demo moment</t>
  </si>
  <si>
    <t xml:space="preserve">Deck roadmap slide</t>
  </si>
  <si>
    <t xml:space="preserve">Decide: naming the carrier platform in the deck</t>
  </si>
  <si>
    <t xml:space="preserve">Deck honest slide; docs/prior-art.md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</si>
</sst>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6F5F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7F2EC"/>
        <bgColor rgb="FFE3E8F0"/>
      </patternFill>
    </fill>
    <fill>
      <patternFill patternType="solid">
        <fgColor rgb="FFFBE9CC"/>
        <bgColor rgb="FFF6F5F0"/>
      </patternFill>
    </fill>
    <fill>
      <patternFill patternType="solid">
        <fgColor rgb="FFF6D5D5"/>
        <bgColor rgb="FFFBE9CC"/>
      </patternFill>
    </fill>
    <fill>
      <patternFill patternType="solid">
        <fgColor rgb="FFE3E8F0"/>
        <bgColor rgb="FFDDE1E6"/>
      </patternFill>
    </fill>
    <fill>
      <patternFill patternType="solid">
        <fgColor rgb="FF0E1726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1E6"/>
      </left>
      <right style="thin">
        <color rgb="FFDDE1E6"/>
      </right>
      <top style="thin">
        <color rgb="FFDDE1E6"/>
      </top>
      <bottom style="thin">
        <color rgb="FFDDE1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E17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6F5F0"/>
          <bgColor rgb="FF000000"/>
        </patternFill>
      </fill>
    </dxf>
    <dxf>
      <fill>
        <patternFill patternType="solid">
          <fgColor rgb="FFE3E8F0"/>
          <bgColor rgb="FF000000"/>
        </patternFill>
      </fill>
    </dxf>
    <dxf>
      <fill>
        <patternFill patternType="solid">
          <fgColor rgb="FFF6D5D5"/>
          <bgColor rgb="FF000000"/>
        </patternFill>
      </fill>
    </dxf>
    <dxf>
      <fill>
        <patternFill patternType="solid">
          <fgColor rgb="FFFBE9CC"/>
          <bgColor rgb="FF000000"/>
        </patternFill>
      </fill>
    </dxf>
  </dxfs>
  <colors>
    <indexedColors>
      <rgbColor rgb="FF000000"/>
      <rgbColor rgb="FFF6F5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CC"/>
      <rgbColor rgb="FFD7F2EC"/>
      <rgbColor rgb="FF660066"/>
      <rgbColor rgb="FFFF8080"/>
      <rgbColor rgb="FF0066CC"/>
      <rgbColor rgb="FFDDE1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F0"/>
      <rgbColor rgb="FFCCFFCC"/>
      <rgbColor rgb="FFFFFF99"/>
      <rgbColor rgb="FF99CCFF"/>
      <rgbColor rgb="FFFF99CC"/>
      <rgbColor rgb="FFCC99FF"/>
      <rgbColor rgb="FFF6D5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17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6" t="n">
        <f aca="false">COUNTIF(Divergences!$E$2:$E$100,A5)</f>
        <v>0</v>
      </c>
    </row>
    <row r="6" customFormat="false" ht="15" hidden="false" customHeight="true" outlineLevel="0" collapsed="false">
      <c r="A6" s="7" t="s">
        <v>5</v>
      </c>
      <c r="B6" s="6" t="n">
        <f aca="false">COUNTIF(Divergences!$E$2:$E$100,A6)</f>
        <v>6</v>
      </c>
    </row>
    <row r="7" customFormat="false" ht="15" hidden="false" customHeight="true" outlineLevel="0" collapsed="false">
      <c r="A7" s="8" t="s">
        <v>6</v>
      </c>
      <c r="B7" s="6" t="n">
        <f aca="false">COUNTIF(Divergences!$E$2:$E$100,A7)</f>
        <v>3</v>
      </c>
    </row>
    <row r="8" customFormat="false" ht="15" hidden="false" customHeight="true" outlineLevel="0" collapsed="false">
      <c r="A8" s="9" t="s">
        <v>7</v>
      </c>
      <c r="B8" s="6" t="n">
        <f aca="false">COUNTIF(Divergences!$E$2:$E$100,A8)</f>
        <v>1</v>
      </c>
    </row>
    <row r="9" customFormat="false" ht="15" hidden="false" customHeight="true" outlineLevel="0" collapsed="false">
      <c r="A9" s="4" t="s">
        <v>8</v>
      </c>
      <c r="B9" s="6" t="n">
        <f aca="false">COUNTA(Divergences!$A$2:$A$100)</f>
        <v>10</v>
      </c>
    </row>
    <row r="10" customFormat="false" ht="15" hidden="false" customHeight="true" outlineLevel="0" collapsed="false">
      <c r="A10" s="4" t="s">
        <v>9</v>
      </c>
      <c r="B10" s="6" t="n">
        <f aca="false">COUNTA(Agreements!$A$2:$A$100)</f>
        <v>12</v>
      </c>
    </row>
    <row r="11" customFormat="false" ht="15" hidden="false" customHeight="true" outlineLevel="0" collapsed="false">
      <c r="A11" s="4" t="s">
        <v>10</v>
      </c>
      <c r="B11" s="6" t="n">
        <f aca="false">COUNTIF('Take now'!$D$2:$D$100,"Pending")</f>
        <v>5</v>
      </c>
    </row>
    <row r="13" customFormat="false" ht="15" hidden="false" customHeight="true" outlineLevel="0" collapsed="false">
      <c r="A13" s="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46"/>
    <col collapsed="false" customWidth="true" hidden="false" outlineLevel="0" max="4" min="4" style="1" width="52"/>
    <col collapsed="false" customWidth="true" hidden="false" outlineLevel="0" max="5" min="5" style="1" width="11"/>
    <col collapsed="false" customWidth="true" hidden="false" outlineLevel="0" max="6" min="6" style="1" width="14"/>
  </cols>
  <sheetData>
    <row r="1" customFormat="false" ht="15" hidden="false" customHeight="true" outlineLevel="0" collapsed="false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2</v>
      </c>
      <c r="F1" s="10" t="s">
        <v>16</v>
      </c>
    </row>
    <row r="2" customFormat="false" ht="23.25" hidden="false" customHeight="true" outlineLevel="0" collapsed="false">
      <c r="A2" s="11" t="s">
        <v>17</v>
      </c>
      <c r="B2" s="12" t="s">
        <v>18</v>
      </c>
      <c r="C2" s="12" t="s">
        <v>19</v>
      </c>
      <c r="D2" s="12" t="s">
        <v>20</v>
      </c>
      <c r="E2" s="13" t="s">
        <v>5</v>
      </c>
      <c r="F2" s="12" t="s">
        <v>21</v>
      </c>
    </row>
    <row r="3" customFormat="false" ht="23.25" hidden="false" customHeight="true" outlineLevel="0" collapsed="false">
      <c r="A3" s="11" t="s">
        <v>22</v>
      </c>
      <c r="B3" s="12" t="s">
        <v>23</v>
      </c>
      <c r="C3" s="12" t="s">
        <v>24</v>
      </c>
      <c r="D3" s="12" t="s">
        <v>25</v>
      </c>
      <c r="E3" s="13" t="s">
        <v>5</v>
      </c>
      <c r="F3" s="12" t="s">
        <v>21</v>
      </c>
    </row>
    <row r="4" customFormat="false" ht="23.25" hidden="false" customHeight="true" outlineLevel="0" collapsed="false">
      <c r="A4" s="11" t="s">
        <v>26</v>
      </c>
      <c r="B4" s="12" t="s">
        <v>27</v>
      </c>
      <c r="C4" s="12" t="s">
        <v>28</v>
      </c>
      <c r="D4" s="12" t="s">
        <v>29</v>
      </c>
      <c r="E4" s="14" t="s">
        <v>6</v>
      </c>
      <c r="F4" s="12" t="s">
        <v>21</v>
      </c>
    </row>
    <row r="5" customFormat="false" ht="23.25" hidden="false" customHeight="true" outlineLevel="0" collapsed="false">
      <c r="A5" s="11" t="s">
        <v>30</v>
      </c>
      <c r="B5" s="12" t="s">
        <v>31</v>
      </c>
      <c r="C5" s="12" t="s">
        <v>32</v>
      </c>
      <c r="D5" s="12" t="s">
        <v>33</v>
      </c>
      <c r="E5" s="14" t="s">
        <v>6</v>
      </c>
      <c r="F5" s="12" t="s">
        <v>34</v>
      </c>
    </row>
    <row r="6" customFormat="false" ht="34.5" hidden="false" customHeight="true" outlineLevel="0" collapsed="false">
      <c r="A6" s="11" t="s">
        <v>35</v>
      </c>
      <c r="B6" s="12" t="s">
        <v>36</v>
      </c>
      <c r="C6" s="12" t="s">
        <v>37</v>
      </c>
      <c r="D6" s="12" t="s">
        <v>38</v>
      </c>
      <c r="E6" s="13" t="s">
        <v>5</v>
      </c>
      <c r="F6" s="12" t="s">
        <v>21</v>
      </c>
    </row>
    <row r="7" customFormat="false" ht="23.25" hidden="false" customHeight="true" outlineLevel="0" collapsed="false">
      <c r="A7" s="11" t="s">
        <v>39</v>
      </c>
      <c r="B7" s="12" t="s">
        <v>40</v>
      </c>
      <c r="C7" s="12" t="s">
        <v>41</v>
      </c>
      <c r="D7" s="12" t="s">
        <v>42</v>
      </c>
      <c r="E7" s="13" t="s">
        <v>5</v>
      </c>
      <c r="F7" s="12" t="s">
        <v>43</v>
      </c>
    </row>
    <row r="8" customFormat="false" ht="23.25" hidden="false" customHeight="true" outlineLevel="0" collapsed="false">
      <c r="A8" s="11" t="s">
        <v>44</v>
      </c>
      <c r="B8" s="12" t="s">
        <v>45</v>
      </c>
      <c r="C8" s="12" t="s">
        <v>46</v>
      </c>
      <c r="D8" s="12" t="s">
        <v>47</v>
      </c>
      <c r="E8" s="13" t="s">
        <v>5</v>
      </c>
      <c r="F8" s="12" t="s">
        <v>21</v>
      </c>
    </row>
    <row r="9" customFormat="false" ht="34.5" hidden="false" customHeight="true" outlineLevel="0" collapsed="false">
      <c r="A9" s="11" t="s">
        <v>48</v>
      </c>
      <c r="B9" s="12" t="s">
        <v>49</v>
      </c>
      <c r="C9" s="12" t="s">
        <v>50</v>
      </c>
      <c r="D9" s="12" t="s">
        <v>51</v>
      </c>
      <c r="E9" s="15" t="s">
        <v>7</v>
      </c>
      <c r="F9" s="12" t="s">
        <v>52</v>
      </c>
    </row>
    <row r="10" customFormat="false" ht="23.25" hidden="false" customHeight="true" outlineLevel="0" collapsed="false">
      <c r="A10" s="11" t="s">
        <v>53</v>
      </c>
      <c r="B10" s="12" t="s">
        <v>54</v>
      </c>
      <c r="C10" s="12" t="s">
        <v>55</v>
      </c>
      <c r="D10" s="12" t="s">
        <v>56</v>
      </c>
      <c r="E10" s="13" t="s">
        <v>5</v>
      </c>
      <c r="F10" s="12" t="s">
        <v>21</v>
      </c>
    </row>
    <row r="11" customFormat="false" ht="23.25" hidden="false" customHeight="true" outlineLevel="0" collapsed="false">
      <c r="A11" s="11" t="s">
        <v>57</v>
      </c>
      <c r="B11" s="12" t="s">
        <v>58</v>
      </c>
      <c r="C11" s="12" t="s">
        <v>59</v>
      </c>
      <c r="D11" s="12" t="s">
        <v>60</v>
      </c>
      <c r="E11" s="14" t="s">
        <v>6</v>
      </c>
      <c r="F11" s="12" t="s">
        <v>61</v>
      </c>
    </row>
    <row r="12" customFormat="false" ht="23.25" hidden="false" customHeight="true" outlineLevel="0" collapsed="false"/>
    <row r="13" customFormat="false" ht="23.25" hidden="false" customHeight="true" outlineLevel="0" collapsed="false"/>
    <row r="14" customFormat="false" ht="23.25" hidden="false" customHeight="true" outlineLevel="0" collapsed="false"/>
    <row r="15" customFormat="false" ht="23.25" hidden="false" customHeight="true" outlineLevel="0" collapsed="false"/>
    <row r="16" customFormat="false" ht="15" hidden="false" customHeight="true" outlineLevel="0" collapsed="false"/>
  </sheetData>
  <autoFilter ref="A1:F11"/>
  <dataValidations count="1">
    <dataValidation allowBlank="true" errorStyle="stop" operator="between" showDropDown="false" showErrorMessage="false" showInputMessage="false" sqref="E2:E16" type="list">
      <formula1>"Adopt,Discuss,Decline,Verify"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48"/>
  </cols>
  <sheetData>
    <row r="1" customFormat="false" ht="15" hidden="false" customHeight="true" outlineLevel="0" collapsed="false">
      <c r="A1" s="10" t="s">
        <v>62</v>
      </c>
      <c r="B1" s="10" t="s">
        <v>63</v>
      </c>
    </row>
    <row r="2" customFormat="false" ht="15" hidden="false" customHeight="true" outlineLevel="0" collapsed="false">
      <c r="A2" s="12" t="s">
        <v>64</v>
      </c>
      <c r="B2" s="12" t="s">
        <v>65</v>
      </c>
    </row>
    <row r="3" customFormat="false" ht="15" hidden="false" customHeight="true" outlineLevel="0" collapsed="false">
      <c r="A3" s="12" t="s">
        <v>66</v>
      </c>
      <c r="B3" s="12" t="s">
        <v>67</v>
      </c>
    </row>
    <row r="4" customFormat="false" ht="15" hidden="false" customHeight="true" outlineLevel="0" collapsed="false">
      <c r="A4" s="12" t="s">
        <v>68</v>
      </c>
      <c r="B4" s="12" t="s">
        <v>69</v>
      </c>
    </row>
    <row r="5" customFormat="false" ht="23.25" hidden="false" customHeight="true" outlineLevel="0" collapsed="false">
      <c r="A5" s="12" t="s">
        <v>70</v>
      </c>
      <c r="B5" s="12" t="s">
        <v>71</v>
      </c>
    </row>
    <row r="6" customFormat="false" ht="15" hidden="false" customHeight="true" outlineLevel="0" collapsed="false">
      <c r="A6" s="12" t="s">
        <v>72</v>
      </c>
      <c r="B6" s="12" t="s">
        <v>73</v>
      </c>
    </row>
    <row r="7" customFormat="false" ht="15" hidden="false" customHeight="true" outlineLevel="0" collapsed="false">
      <c r="A7" s="12" t="s">
        <v>74</v>
      </c>
      <c r="B7" s="12" t="s">
        <v>75</v>
      </c>
    </row>
    <row r="8" customFormat="false" ht="15" hidden="false" customHeight="true" outlineLevel="0" collapsed="false">
      <c r="A8" s="12" t="s">
        <v>76</v>
      </c>
      <c r="B8" s="12" t="s">
        <v>77</v>
      </c>
    </row>
    <row r="9" customFormat="false" ht="15" hidden="false" customHeight="true" outlineLevel="0" collapsed="false">
      <c r="A9" s="12" t="s">
        <v>78</v>
      </c>
      <c r="B9" s="12" t="s">
        <v>79</v>
      </c>
    </row>
    <row r="10" customFormat="false" ht="15" hidden="false" customHeight="true" outlineLevel="0" collapsed="false">
      <c r="A10" s="12" t="s">
        <v>80</v>
      </c>
      <c r="B10" s="12" t="s">
        <v>81</v>
      </c>
    </row>
    <row r="11" customFormat="false" ht="15" hidden="false" customHeight="true" outlineLevel="0" collapsed="false">
      <c r="A11" s="12" t="s">
        <v>82</v>
      </c>
      <c r="B11" s="12" t="s">
        <v>83</v>
      </c>
    </row>
    <row r="12" customFormat="false" ht="15" hidden="false" customHeight="true" outlineLevel="0" collapsed="false">
      <c r="A12" s="12" t="s">
        <v>84</v>
      </c>
      <c r="B12" s="12" t="s">
        <v>85</v>
      </c>
    </row>
    <row r="13" customFormat="false" ht="15" hidden="false" customHeight="true" outlineLevel="0" collapsed="false">
      <c r="A13" s="12" t="s">
        <v>86</v>
      </c>
      <c r="B13" s="12" t="s">
        <v>87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  <col collapsed="false" customWidth="true" hidden="false" outlineLevel="0" max="2" min="2" style="1" width="56"/>
    <col collapsed="false" customWidth="true" hidden="false" outlineLevel="0" max="3" min="3" style="1" width="10"/>
    <col collapsed="false" customWidth="true" hidden="false" outlineLevel="0" max="4" min="4" style="1" width="12"/>
  </cols>
  <sheetData>
    <row r="1" customFormat="false" ht="15" hidden="false" customHeight="true" outlineLevel="0" collapsed="false">
      <c r="A1" s="10" t="s">
        <v>88</v>
      </c>
      <c r="B1" s="10" t="s">
        <v>89</v>
      </c>
      <c r="C1" s="10" t="s">
        <v>16</v>
      </c>
      <c r="D1" s="10" t="s">
        <v>90</v>
      </c>
    </row>
    <row r="2" customFormat="false" ht="23.25" hidden="false" customHeight="true" outlineLevel="0" collapsed="false">
      <c r="A2" s="12" t="s">
        <v>91</v>
      </c>
      <c r="B2" s="12" t="s">
        <v>92</v>
      </c>
      <c r="C2" s="12" t="s">
        <v>52</v>
      </c>
      <c r="D2" s="12" t="s">
        <v>93</v>
      </c>
    </row>
    <row r="3" customFormat="false" ht="23.25" hidden="false" customHeight="true" outlineLevel="0" collapsed="false">
      <c r="A3" s="12" t="s">
        <v>94</v>
      </c>
      <c r="B3" s="12" t="s">
        <v>95</v>
      </c>
      <c r="C3" s="12" t="s">
        <v>52</v>
      </c>
      <c r="D3" s="12" t="s">
        <v>93</v>
      </c>
    </row>
    <row r="4" customFormat="false" ht="15" hidden="false" customHeight="true" outlineLevel="0" collapsed="false">
      <c r="A4" s="12" t="s">
        <v>96</v>
      </c>
      <c r="B4" s="12" t="s">
        <v>97</v>
      </c>
      <c r="C4" s="12" t="s">
        <v>21</v>
      </c>
      <c r="D4" s="12" t="s">
        <v>93</v>
      </c>
    </row>
    <row r="5" customFormat="false" ht="23.25" hidden="false" customHeight="true" outlineLevel="0" collapsed="false">
      <c r="A5" s="12" t="s">
        <v>98</v>
      </c>
      <c r="B5" s="12" t="s">
        <v>99</v>
      </c>
      <c r="C5" s="12" t="s">
        <v>21</v>
      </c>
      <c r="D5" s="12" t="s">
        <v>93</v>
      </c>
    </row>
    <row r="6" customFormat="false" ht="23.25" hidden="false" customHeight="true" outlineLevel="0" collapsed="false">
      <c r="A6" s="12" t="s">
        <v>100</v>
      </c>
      <c r="B6" s="12" t="s">
        <v>101</v>
      </c>
      <c r="C6" s="12" t="s">
        <v>43</v>
      </c>
      <c r="D6" s="12" t="s">
        <v>93</v>
      </c>
    </row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</sheetData>
  <autoFilter ref="A1:D6"/>
  <dataValidations count="1">
    <dataValidation allowBlank="true" errorStyle="stop" operator="between" showDropDown="false" showErrorMessage="false" showInputMessage="false" sqref="D2:D11" type="list">
      <formula1>"Pending,Done,Dropped"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2026-10-05T15:38:21Z</dcterms:created>
  <dc:creator>openpyxl</dc:creator>
  <dc:description/>
  <dc:language>en-US</dc:language>
  <cp:lastModifiedBy/>
  <dcterms:modified xsi:type="dcterms:W3CDTF">2026-10-05T15:56:17Z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